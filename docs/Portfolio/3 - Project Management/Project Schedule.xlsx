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7"/>
  <workbookPr filterPrivacy="1" codeName="ThisWorkbook"/>
  <xr:revisionPtr revIDLastSave="355" documentId="8_{09DAE815-D890-41FF-AC76-4BBD966707F5}" xr6:coauthVersionLast="47" xr6:coauthVersionMax="47" xr10:uidLastSave="{418DBF8B-8BCC-4DE1-9FCF-252C053899A7}"/>
  <bookViews>
    <workbookView xWindow="-108" yWindow="-108" windowWidth="23256" windowHeight="12576"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29" i="11" l="1"/>
  <c r="E28" i="11"/>
  <c r="F28" i="11" s="1"/>
  <c r="E32" i="11" s="1"/>
  <c r="E25" i="11"/>
  <c r="F25" i="11" s="1"/>
  <c r="F11" i="11"/>
  <c r="E12" i="11" s="1"/>
  <c r="F12" i="11" s="1"/>
  <c r="E15" i="11"/>
  <c r="F10" i="11"/>
  <c r="E9" i="11"/>
  <c r="F9" i="11" s="1"/>
  <c r="H7" i="11"/>
  <c r="E39" i="11" l="1"/>
  <c r="F39" i="11" s="1"/>
  <c r="E42" i="11"/>
  <c r="F42" i="11" s="1"/>
  <c r="E53" i="11"/>
  <c r="F53" i="11" s="1"/>
  <c r="E54" i="11" s="1"/>
  <c r="F54" i="11" s="1"/>
  <c r="H54" i="11" s="1"/>
  <c r="I5" i="11"/>
  <c r="H65" i="11"/>
  <c r="H64" i="11"/>
  <c r="H63" i="11"/>
  <c r="H62" i="11"/>
  <c r="H61" i="11"/>
  <c r="H60" i="11"/>
  <c r="H58" i="11"/>
  <c r="H52" i="11"/>
  <c r="H46" i="11"/>
  <c r="H8" i="11"/>
  <c r="H53" i="11" l="1"/>
  <c r="E55" i="11"/>
  <c r="F55" i="11" s="1"/>
  <c r="H9" i="11"/>
  <c r="E47" i="11"/>
  <c r="E48" i="11" s="1"/>
  <c r="I6" i="11"/>
  <c r="E57" i="11" l="1"/>
  <c r="F57" i="11" s="1"/>
  <c r="H57" i="11" s="1"/>
  <c r="H59" i="11"/>
  <c r="H10" i="11"/>
  <c r="E56" i="11"/>
  <c r="H55" i="11"/>
  <c r="F48" i="11"/>
  <c r="F47" i="11"/>
  <c r="H47" i="11" s="1"/>
  <c r="H14" i="11"/>
  <c r="J5" i="11"/>
  <c r="K5" i="11" s="1"/>
  <c r="L5" i="11" s="1"/>
  <c r="M5" i="11" s="1"/>
  <c r="N5" i="11" s="1"/>
  <c r="O5" i="11" s="1"/>
  <c r="P5" i="11" s="1"/>
  <c r="I4" i="11"/>
  <c r="F56" i="11" l="1"/>
  <c r="H56" i="11" s="1"/>
  <c r="H48" i="11"/>
  <c r="E49" i="11"/>
  <c r="E50" i="11" s="1"/>
  <c r="E51" i="11" s="1"/>
  <c r="H11" i="11"/>
  <c r="P4" i="11"/>
  <c r="Q5" i="11"/>
  <c r="R5" i="11" s="1"/>
  <c r="S5" i="11" s="1"/>
  <c r="T5" i="11" s="1"/>
  <c r="U5" i="11" s="1"/>
  <c r="V5" i="11" s="1"/>
  <c r="W5" i="11" s="1"/>
  <c r="J6" i="11"/>
  <c r="H12" i="11" l="1"/>
  <c r="F51" i="11"/>
  <c r="H51" i="11" s="1"/>
  <c r="F50" i="11"/>
  <c r="H50" i="11" s="1"/>
  <c r="F49" i="11"/>
  <c r="H49"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<sst xmlns="http://schemas.openxmlformats.org/spreadsheetml/2006/main" count="140" uniqueCount="85">
  <si>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</si>
  <si>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3D Gaming Environment for Arm Assessment</t>
  </si>
  <si>
    <t>SIMPLE GANTT CHART by Vertex42.com</t>
  </si>
  <si>
    <t>Enter Company Name in cell B2.</t>
  </si>
  <si>
    <t>MAD SABINO</t>
  </si>
  <si>
    <t>https://www.vertex42.com/ExcelTemplates/simple-gantt-chart.html</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</si>
  <si>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</si>
  <si>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</si>
  <si>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</si>
  <si>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</si>
  <si>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</si>
  <si>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</si>
  <si>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</si>
  <si>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</si>
  <si>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</si>
  <si>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</si>
  <si>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</si>
  <si>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</si>
  <si>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</si>
  <si>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</si>
  <si>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</si>
  <si>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Project Schedule</t>
  </si>
  <si>
    <t>All</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</si>
  <si>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</si>
  <si>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Budget</t>
  </si>
  <si>
    <t>Validation Plan</t>
  </si>
  <si>
    <t>Snapshot #1 (Presentation Slide)</t>
  </si>
  <si>
    <t>Project Setup (Unity and Github)</t>
  </si>
  <si>
    <t>Miguel</t>
  </si>
  <si>
    <t>Unity Research (Team Member Scenes)</t>
  </si>
  <si>
    <t>Continuous Developmental Research</t>
  </si>
  <si>
    <t>Logbook (w/ review form) &amp; Portfolio</t>
  </si>
  <si>
    <t>Make Moveable Arm in Environment</t>
  </si>
  <si>
    <t>Create a Keyboard and Mouse Controls Scheme for Development</t>
  </si>
  <si>
    <t>Add Specific Required Articulation to the Game Arm</t>
  </si>
  <si>
    <t>Concept Design Review (Attend 2 Design Reviews)</t>
  </si>
  <si>
    <t>C Sharp Wrapper (Exoskeleton Input to Game Output)</t>
  </si>
  <si>
    <t>Alex</t>
  </si>
  <si>
    <t>Team Member Citizenship</t>
  </si>
  <si>
    <t>Thanksgiving Break</t>
  </si>
  <si>
    <t>Create One Repeatable Task (With Keyboard Capability)</t>
  </si>
  <si>
    <t>Snapshot #2 Preparation</t>
  </si>
  <si>
    <t>Snapshot #2 (Storyboard Presentations)</t>
  </si>
  <si>
    <t>Create One Repeatable Task (With Exoskeleton Capability)</t>
  </si>
  <si>
    <t xml:space="preserve">Simple Menu </t>
  </si>
  <si>
    <t>Project Portfolio</t>
  </si>
  <si>
    <t>Design Expo Registration</t>
  </si>
  <si>
    <t>Menu With Configurations</t>
  </si>
  <si>
    <t>Dawson</t>
  </si>
  <si>
    <t>Engineering Release Review (w/ Two Design Reviews)</t>
  </si>
  <si>
    <t>Team Portfolio</t>
  </si>
  <si>
    <t>Logbook</t>
  </si>
  <si>
    <t>Spring Break</t>
  </si>
  <si>
    <t>Snapshot #3</t>
  </si>
  <si>
    <t>Work on Range of Motion (2 to 5 Degrees)</t>
  </si>
  <si>
    <t>Work on Visuals</t>
  </si>
  <si>
    <t>Poster (Print Shop &amp; Online)</t>
  </si>
  <si>
    <t>Add and Create 5 Repeatable Tasks</t>
  </si>
  <si>
    <t>Prepare for Expo</t>
  </si>
  <si>
    <t>Design Expo</t>
  </si>
  <si>
    <t>End Course Delieverables</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</si>
  <si>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</si>
  <si>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Task 1</t>
  </si>
  <si>
    <t>Task 2</t>
  </si>
  <si>
    <t>Task 3</t>
  </si>
  <si>
    <t>Task 4</t>
  </si>
  <si>
    <t>Task 5</t>
  </si>
  <si>
    <t>Sample phase title block</t>
  </si>
  <si>
    <t>date</t>
  </si>
  <si>
    <t>This is an empty row</t>
  </si>
  <si>
    <t>This row marks the end of the Project Schedule. DO NOT enter anything in this row. 
Insert new rows ABOVE this one to continue building out your Project Schedule.</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</si>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</sst>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3">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0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7" fontId="11" fillId="7" borderId="0" xfId="0" applyNumberFormat="1" applyFont="1" applyFill="1" applyAlignment="1">
      <alignment horizontal="center" vertical="center"/>
    </xf>
    <xf numFmtId="167" fontId="11" fillId="7" borderId="6" xfId="0" applyNumberFormat="1" applyFont="1" applyFill="1" applyBorder="1" applyAlignment="1">
      <alignment horizontal="center" vertical="center"/>
    </xf>
    <xf numFmtId="167"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4" fontId="9" fillId="3" borderId="2" xfId="10" applyFill="1">
      <alignment horizontal="center" vertical="center"/>
    </xf>
    <xf numFmtId="164" fontId="9" fillId="4" borderId="2" xfId="10" applyFill="1">
      <alignment horizontal="center" vertical="center"/>
    </xf>
    <xf numFmtId="164" fontId="9" fillId="11" borderId="2" xfId="10" applyFill="1">
      <alignment horizontal="center" vertical="center"/>
    </xf>
    <xf numFmtId="164" fontId="9" fillId="10" borderId="2" xfId="10" applyFill="1">
      <alignment horizontal="center" vertical="center"/>
    </xf>
    <xf numFmtId="164" fontId="9" fillId="0" borderId="2" xfId="10">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164" fontId="0" fillId="3" borderId="2" xfId="10" applyFont="1" applyFill="1">
      <alignment horizontal="center" vertical="center"/>
    </xf>
    <xf numFmtId="0" fontId="9" fillId="14" borderId="2" xfId="12" applyFill="1">
      <alignment horizontal="left" vertical="center" indent="2"/>
    </xf>
    <xf numFmtId="164" fontId="9" fillId="14" borderId="2" xfId="10" applyFill="1">
      <alignment horizontal="center" vertical="center"/>
    </xf>
    <xf numFmtId="164" fontId="0" fillId="14" borderId="2" xfId="10" applyFont="1" applyFill="1">
      <alignment horizontal="center" vertical="center"/>
    </xf>
    <xf numFmtId="0" fontId="9" fillId="15" borderId="2" xfId="12" applyFill="1">
      <alignment horizontal="left" vertical="center" indent="2"/>
    </xf>
    <xf numFmtId="164" fontId="9" fillId="15" borderId="2" xfId="10" applyFill="1">
      <alignment horizontal="center" vertical="center"/>
    </xf>
    <xf numFmtId="164" fontId="0" fillId="15" borderId="2" xfId="10" applyFont="1" applyFill="1">
      <alignment horizontal="center" vertical="center"/>
    </xf>
    <xf numFmtId="0" fontId="9" fillId="16" borderId="2" xfId="12" applyFill="1">
      <alignment horizontal="left" vertical="center" indent="2"/>
    </xf>
    <xf numFmtId="164" fontId="9" fillId="16" borderId="2" xfId="10" applyFill="1">
      <alignment horizontal="center" vertical="center"/>
    </xf>
    <xf numFmtId="0" fontId="9" fillId="17" borderId="2" xfId="12" applyFill="1">
      <alignment horizontal="left" vertical="center" indent="2"/>
    </xf>
    <xf numFmtId="164" fontId="9" fillId="17" borderId="2" xfId="10" applyFill="1">
      <alignment horizontal="center" vertical="center"/>
    </xf>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0" fontId="9" fillId="0" borderId="0" xfId="8" applyAlignment="1">
      <alignment horizontal="right" indent="1"/>
    </xf>
    <xf numFmtId="0" fontId="9" fillId="0" borderId="7" xfId="8" applyBorder="1" applyAlignment="1">
      <alignment horizontal="right" indent="1"/>
    </xf>
    <xf numFmtId="165" fontId="9" fillId="0" borderId="3" xfId="9" applyAlignment="1">
      <alignment horizontal="center" vertical="center"/>
    </xf>
    <xf numFmtId="0" fontId="0" fillId="0" borderId="10" xfId="0"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68"/>
  <sheetViews>
    <sheetView showGridLines="0" tabSelected="1" showRuler="0" zoomScale="64" zoomScaleNormal="64" zoomScalePageLayoutView="70" workbookViewId="0">
      <pane ySplit="6" topLeftCell="A8" activePane="bottomLeft" state="frozen"/>
      <selection pane="bottomLeft" activeCell="D17" sqref="D17"/>
    </sheetView>
  </sheetViews>
  <sheetFormatPr defaultRowHeight="30" customHeight="1"/>
  <cols>
    <col min="1" max="1" width="2.7109375" style="58" customWidth="1"/>
    <col min="2" max="2" width="65.28515625" customWidth="1"/>
    <col min="3" max="3" width="30.7109375" customWidth="1"/>
    <col min="4" max="4" width="14.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c r="A1" s="59" t="s">
        <v>0</v>
      </c>
      <c r="B1" s="63" t="s">
        <v>1</v>
      </c>
      <c r="C1" s="1"/>
      <c r="D1" s="2"/>
      <c r="E1" s="4"/>
      <c r="F1" s="47"/>
      <c r="H1" s="2"/>
      <c r="I1" s="14" t="s">
        <v>2</v>
      </c>
    </row>
    <row r="2" spans="1:64" ht="30" customHeight="1">
      <c r="A2" s="58" t="s">
        <v>3</v>
      </c>
      <c r="B2" s="64" t="s">
        <v>4</v>
      </c>
      <c r="I2" s="61" t="s">
        <v>5</v>
      </c>
    </row>
    <row r="3" spans="1:64" ht="30" customHeight="1">
      <c r="A3" s="58" t="s">
        <v>6</v>
      </c>
      <c r="B3" s="65"/>
      <c r="C3" s="99" t="s">
        <v>7</v>
      </c>
      <c r="D3" s="100"/>
      <c r="E3" s="101">
        <v>44467</v>
      </c>
      <c r="F3" s="101"/>
    </row>
    <row r="4" spans="1:64" ht="30" customHeight="1">
      <c r="A4" s="59" t="s">
        <v>8</v>
      </c>
      <c r="C4" s="99" t="s">
        <v>9</v>
      </c>
      <c r="D4" s="100"/>
      <c r="E4" s="7">
        <v>1</v>
      </c>
      <c r="I4" s="96">
        <f>I5</f>
        <v>44466</v>
      </c>
      <c r="J4" s="97"/>
      <c r="K4" s="97"/>
      <c r="L4" s="97"/>
      <c r="M4" s="97"/>
      <c r="N4" s="97"/>
      <c r="O4" s="98"/>
      <c r="P4" s="96">
        <f>P5</f>
        <v>44473</v>
      </c>
      <c r="Q4" s="97"/>
      <c r="R4" s="97"/>
      <c r="S4" s="97"/>
      <c r="T4" s="97"/>
      <c r="U4" s="97"/>
      <c r="V4" s="98"/>
      <c r="W4" s="96">
        <f>W5</f>
        <v>44480</v>
      </c>
      <c r="X4" s="97"/>
      <c r="Y4" s="97"/>
      <c r="Z4" s="97"/>
      <c r="AA4" s="97"/>
      <c r="AB4" s="97"/>
      <c r="AC4" s="98"/>
      <c r="AD4" s="96">
        <f>AD5</f>
        <v>44487</v>
      </c>
      <c r="AE4" s="97"/>
      <c r="AF4" s="97"/>
      <c r="AG4" s="97"/>
      <c r="AH4" s="97"/>
      <c r="AI4" s="97"/>
      <c r="AJ4" s="98"/>
      <c r="AK4" s="96">
        <f>AK5</f>
        <v>44494</v>
      </c>
      <c r="AL4" s="97"/>
      <c r="AM4" s="97"/>
      <c r="AN4" s="97"/>
      <c r="AO4" s="97"/>
      <c r="AP4" s="97"/>
      <c r="AQ4" s="98"/>
      <c r="AR4" s="96">
        <f>AR5</f>
        <v>44501</v>
      </c>
      <c r="AS4" s="97"/>
      <c r="AT4" s="97"/>
      <c r="AU4" s="97"/>
      <c r="AV4" s="97"/>
      <c r="AW4" s="97"/>
      <c r="AX4" s="98"/>
      <c r="AY4" s="96">
        <f>AY5</f>
        <v>44508</v>
      </c>
      <c r="AZ4" s="97"/>
      <c r="BA4" s="97"/>
      <c r="BB4" s="97"/>
      <c r="BC4" s="97"/>
      <c r="BD4" s="97"/>
      <c r="BE4" s="98"/>
      <c r="BF4" s="96">
        <f>BF5</f>
        <v>44515</v>
      </c>
      <c r="BG4" s="97"/>
      <c r="BH4" s="97"/>
      <c r="BI4" s="97"/>
      <c r="BJ4" s="97"/>
      <c r="BK4" s="97"/>
      <c r="BL4" s="98"/>
    </row>
    <row r="5" spans="1:64" ht="15" customHeight="1">
      <c r="A5" s="59" t="s">
        <v>10</v>
      </c>
      <c r="B5" s="102"/>
      <c r="C5" s="102"/>
      <c r="D5" s="102"/>
      <c r="E5" s="102"/>
      <c r="F5" s="102"/>
      <c r="G5" s="102"/>
      <c r="I5" s="11">
        <f>Project_Start-WEEKDAY(Project_Start,1)+2+7*(Display_Week-1)</f>
        <v>44466</v>
      </c>
      <c r="J5" s="10">
        <f>I5+1</f>
        <v>44467</v>
      </c>
      <c r="K5" s="10">
        <f t="shared" ref="K5:AX5" si="0">J5+1</f>
        <v>44468</v>
      </c>
      <c r="L5" s="10">
        <f t="shared" si="0"/>
        <v>44469</v>
      </c>
      <c r="M5" s="10">
        <f t="shared" si="0"/>
        <v>44470</v>
      </c>
      <c r="N5" s="10">
        <f t="shared" si="0"/>
        <v>44471</v>
      </c>
      <c r="O5" s="12">
        <f t="shared" si="0"/>
        <v>44472</v>
      </c>
      <c r="P5" s="11">
        <f>O5+1</f>
        <v>44473</v>
      </c>
      <c r="Q5" s="10">
        <f>P5+1</f>
        <v>44474</v>
      </c>
      <c r="R5" s="10">
        <f t="shared" si="0"/>
        <v>44475</v>
      </c>
      <c r="S5" s="10">
        <f t="shared" si="0"/>
        <v>44476</v>
      </c>
      <c r="T5" s="10">
        <f t="shared" si="0"/>
        <v>44477</v>
      </c>
      <c r="U5" s="10">
        <f t="shared" si="0"/>
        <v>44478</v>
      </c>
      <c r="V5" s="12">
        <f t="shared" si="0"/>
        <v>44479</v>
      </c>
      <c r="W5" s="11">
        <f>V5+1</f>
        <v>44480</v>
      </c>
      <c r="X5" s="10">
        <f>W5+1</f>
        <v>44481</v>
      </c>
      <c r="Y5" s="10">
        <f t="shared" si="0"/>
        <v>44482</v>
      </c>
      <c r="Z5" s="10">
        <f t="shared" si="0"/>
        <v>44483</v>
      </c>
      <c r="AA5" s="10">
        <f t="shared" si="0"/>
        <v>44484</v>
      </c>
      <c r="AB5" s="10">
        <f t="shared" si="0"/>
        <v>44485</v>
      </c>
      <c r="AC5" s="12">
        <f t="shared" si="0"/>
        <v>44486</v>
      </c>
      <c r="AD5" s="11">
        <f>AC5+1</f>
        <v>44487</v>
      </c>
      <c r="AE5" s="10">
        <f>AD5+1</f>
        <v>44488</v>
      </c>
      <c r="AF5" s="10">
        <f t="shared" si="0"/>
        <v>44489</v>
      </c>
      <c r="AG5" s="10">
        <f t="shared" si="0"/>
        <v>44490</v>
      </c>
      <c r="AH5" s="10">
        <f t="shared" si="0"/>
        <v>44491</v>
      </c>
      <c r="AI5" s="10">
        <f t="shared" si="0"/>
        <v>44492</v>
      </c>
      <c r="AJ5" s="12">
        <f t="shared" si="0"/>
        <v>44493</v>
      </c>
      <c r="AK5" s="11">
        <f>AJ5+1</f>
        <v>44494</v>
      </c>
      <c r="AL5" s="10">
        <f>AK5+1</f>
        <v>44495</v>
      </c>
      <c r="AM5" s="10">
        <f t="shared" si="0"/>
        <v>44496</v>
      </c>
      <c r="AN5" s="10">
        <f t="shared" si="0"/>
        <v>44497</v>
      </c>
      <c r="AO5" s="10">
        <f t="shared" si="0"/>
        <v>44498</v>
      </c>
      <c r="AP5" s="10">
        <f t="shared" si="0"/>
        <v>44499</v>
      </c>
      <c r="AQ5" s="12">
        <f t="shared" si="0"/>
        <v>44500</v>
      </c>
      <c r="AR5" s="11">
        <f>AQ5+1</f>
        <v>44501</v>
      </c>
      <c r="AS5" s="10">
        <f>AR5+1</f>
        <v>44502</v>
      </c>
      <c r="AT5" s="10">
        <f t="shared" si="0"/>
        <v>44503</v>
      </c>
      <c r="AU5" s="10">
        <f t="shared" si="0"/>
        <v>44504</v>
      </c>
      <c r="AV5" s="10">
        <f t="shared" si="0"/>
        <v>44505</v>
      </c>
      <c r="AW5" s="10">
        <f t="shared" si="0"/>
        <v>44506</v>
      </c>
      <c r="AX5" s="12">
        <f t="shared" si="0"/>
        <v>44507</v>
      </c>
      <c r="AY5" s="11">
        <f>AX5+1</f>
        <v>44508</v>
      </c>
      <c r="AZ5" s="10">
        <f>AY5+1</f>
        <v>44509</v>
      </c>
      <c r="BA5" s="10">
        <f t="shared" ref="BA5:BE5" si="1">AZ5+1</f>
        <v>44510</v>
      </c>
      <c r="BB5" s="10">
        <f t="shared" si="1"/>
        <v>44511</v>
      </c>
      <c r="BC5" s="10">
        <f t="shared" si="1"/>
        <v>44512</v>
      </c>
      <c r="BD5" s="10">
        <f t="shared" si="1"/>
        <v>44513</v>
      </c>
      <c r="BE5" s="12">
        <f t="shared" si="1"/>
        <v>44514</v>
      </c>
      <c r="BF5" s="11">
        <f>BE5+1</f>
        <v>44515</v>
      </c>
      <c r="BG5" s="10">
        <f>BF5+1</f>
        <v>44516</v>
      </c>
      <c r="BH5" s="10">
        <f t="shared" ref="BH5:BL5" si="2">BG5+1</f>
        <v>44517</v>
      </c>
      <c r="BI5" s="10">
        <f t="shared" si="2"/>
        <v>44518</v>
      </c>
      <c r="BJ5" s="10">
        <f t="shared" si="2"/>
        <v>44519</v>
      </c>
      <c r="BK5" s="10">
        <f t="shared" si="2"/>
        <v>44520</v>
      </c>
      <c r="BL5" s="12">
        <f t="shared" si="2"/>
        <v>44521</v>
      </c>
    </row>
    <row r="6" spans="1:64" ht="30" customHeight="1" thickBot="1">
      <c r="A6" s="59" t="s">
        <v>11</v>
      </c>
      <c r="B6" s="8" t="s">
        <v>12</v>
      </c>
      <c r="C6" s="9" t="s">
        <v>13</v>
      </c>
      <c r="D6" s="9" t="s">
        <v>14</v>
      </c>
      <c r="E6" s="9" t="s">
        <v>15</v>
      </c>
      <c r="F6" s="9" t="s">
        <v>16</v>
      </c>
      <c r="G6" s="9"/>
      <c r="H6" s="9" t="s">
        <v>17</v>
      </c>
      <c r="I6" s="13" t="str">
        <f t="shared" ref="I6" si="3">LEFT(TEXT(I5,"ddd"),1)</f>
        <v>M</v>
      </c>
      <c r="J6" s="13" t="str">
        <f t="shared" ref="J6:AR6" si="4">LEFT(TEXT(J5,"ddd"),1)</f>
        <v>T</v>
      </c>
      <c r="K6" s="13" t="str">
        <f t="shared" si="4"/>
        <v>W</v>
      </c>
      <c r="L6" s="13" t="str">
        <f t="shared" si="4"/>
        <v>T</v>
      </c>
      <c r="M6" s="13" t="str">
        <f t="shared" si="4"/>
        <v>F</v>
      </c>
      <c r="N6" s="13" t="str">
        <f t="shared" si="4"/>
        <v>S</v>
      </c>
      <c r="O6" s="13" t="str">
        <f t="shared" si="4"/>
        <v>S</v>
      </c>
      <c r="P6" s="13" t="str">
        <f t="shared" si="4"/>
        <v>M</v>
      </c>
      <c r="Q6" s="13" t="str">
        <f t="shared" si="4"/>
        <v>T</v>
      </c>
      <c r="R6" s="13" t="str">
        <f t="shared" si="4"/>
        <v>W</v>
      </c>
      <c r="S6" s="13" t="str">
        <f t="shared" si="4"/>
        <v>T</v>
      </c>
      <c r="T6" s="13" t="str">
        <f t="shared" si="4"/>
        <v>F</v>
      </c>
      <c r="U6" s="13" t="str">
        <f t="shared" si="4"/>
        <v>S</v>
      </c>
      <c r="V6" s="13" t="str">
        <f t="shared" si="4"/>
        <v>S</v>
      </c>
      <c r="W6" s="13" t="str">
        <f t="shared" si="4"/>
        <v>M</v>
      </c>
      <c r="X6" s="13" t="str">
        <f t="shared" si="4"/>
        <v>T</v>
      </c>
      <c r="Y6" s="13" t="str">
        <f t="shared" si="4"/>
        <v>W</v>
      </c>
      <c r="Z6" s="13" t="str">
        <f t="shared" si="4"/>
        <v>T</v>
      </c>
      <c r="AA6" s="13" t="str">
        <f t="shared" si="4"/>
        <v>F</v>
      </c>
      <c r="AB6" s="13" t="str">
        <f t="shared" si="4"/>
        <v>S</v>
      </c>
      <c r="AC6" s="13" t="str">
        <f t="shared" si="4"/>
        <v>S</v>
      </c>
      <c r="AD6" s="13" t="str">
        <f t="shared" si="4"/>
        <v>M</v>
      </c>
      <c r="AE6" s="13" t="str">
        <f t="shared" si="4"/>
        <v>T</v>
      </c>
      <c r="AF6" s="13" t="str">
        <f t="shared" si="4"/>
        <v>W</v>
      </c>
      <c r="AG6" s="13" t="str">
        <f t="shared" si="4"/>
        <v>T</v>
      </c>
      <c r="AH6" s="13" t="str">
        <f t="shared" si="4"/>
        <v>F</v>
      </c>
      <c r="AI6" s="13" t="str">
        <f t="shared" si="4"/>
        <v>S</v>
      </c>
      <c r="AJ6" s="13" t="str">
        <f t="shared" si="4"/>
        <v>S</v>
      </c>
      <c r="AK6" s="13" t="str">
        <f t="shared" si="4"/>
        <v>M</v>
      </c>
      <c r="AL6" s="13" t="str">
        <f t="shared" si="4"/>
        <v>T</v>
      </c>
      <c r="AM6" s="13" t="str">
        <f t="shared" si="4"/>
        <v>W</v>
      </c>
      <c r="AN6" s="13" t="str">
        <f t="shared" si="4"/>
        <v>T</v>
      </c>
      <c r="AO6" s="13" t="str">
        <f t="shared" si="4"/>
        <v>F</v>
      </c>
      <c r="AP6" s="13" t="str">
        <f t="shared" si="4"/>
        <v>S</v>
      </c>
      <c r="AQ6" s="13" t="str">
        <f t="shared" si="4"/>
        <v>S</v>
      </c>
      <c r="AR6" s="13" t="str">
        <f t="shared" si="4"/>
        <v>M</v>
      </c>
      <c r="AS6" s="13" t="str">
        <f t="shared" ref="AS6:BL6" si="5">LEFT(TEXT(AS5,"ddd"),1)</f>
        <v>T</v>
      </c>
      <c r="AT6" s="13" t="str">
        <f t="shared" si="5"/>
        <v>W</v>
      </c>
      <c r="AU6" s="13" t="str">
        <f t="shared" si="5"/>
        <v>T</v>
      </c>
      <c r="AV6" s="13" t="str">
        <f t="shared" si="5"/>
        <v>F</v>
      </c>
      <c r="AW6" s="13" t="str">
        <f t="shared" si="5"/>
        <v>S</v>
      </c>
      <c r="AX6" s="13" t="str">
        <f t="shared" si="5"/>
        <v>S</v>
      </c>
      <c r="AY6" s="13" t="str">
        <f t="shared" si="5"/>
        <v>M</v>
      </c>
      <c r="AZ6" s="13" t="str">
        <f t="shared" si="5"/>
        <v>T</v>
      </c>
      <c r="BA6" s="13" t="str">
        <f t="shared" si="5"/>
        <v>W</v>
      </c>
      <c r="BB6" s="13" t="str">
        <f t="shared" si="5"/>
        <v>T</v>
      </c>
      <c r="BC6" s="13" t="str">
        <f t="shared" si="5"/>
        <v>F</v>
      </c>
      <c r="BD6" s="13" t="str">
        <f t="shared" si="5"/>
        <v>S</v>
      </c>
      <c r="BE6" s="13" t="str">
        <f t="shared" si="5"/>
        <v>S</v>
      </c>
      <c r="BF6" s="13" t="str">
        <f t="shared" si="5"/>
        <v>M</v>
      </c>
      <c r="BG6" s="13" t="str">
        <f t="shared" si="5"/>
        <v>T</v>
      </c>
      <c r="BH6" s="13" t="str">
        <f t="shared" si="5"/>
        <v>W</v>
      </c>
      <c r="BI6" s="13" t="str">
        <f t="shared" si="5"/>
        <v>T</v>
      </c>
      <c r="BJ6" s="13" t="str">
        <f t="shared" si="5"/>
        <v>F</v>
      </c>
      <c r="BK6" s="13" t="str">
        <f t="shared" si="5"/>
        <v>S</v>
      </c>
      <c r="BL6" s="13" t="str">
        <f t="shared" si="5"/>
        <v>S</v>
      </c>
    </row>
    <row r="7" spans="1:64" ht="30" hidden="1" customHeight="1" thickBot="1">
      <c r="A7" s="58" t="s">
        <v>18</v>
      </c>
      <c r="C7" s="62"/>
      <c r="E7"/>
      <c r="H7" t="str">
        <f ca="1">IF(OR(ISBLANK(task_start),ISBLANK(task_end)),"",task_end-task_start+1)</f>
        <v/>
      </c>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row>
    <row r="8" spans="1:64" s="3" customFormat="1" ht="30" customHeight="1" thickBot="1">
      <c r="A8" s="59" t="s">
        <v>19</v>
      </c>
      <c r="B8" s="18"/>
      <c r="C8" s="71"/>
      <c r="D8" s="19"/>
      <c r="E8" s="20"/>
      <c r="F8" s="21"/>
      <c r="G8" s="17"/>
      <c r="H8" s="17" t="str">
        <f t="shared" ref="H8:H65" ca="1" si="6">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3" customFormat="1" ht="30" customHeight="1" thickBot="1">
      <c r="A9" s="59" t="s">
        <v>20</v>
      </c>
      <c r="B9" s="86" t="s">
        <v>21</v>
      </c>
      <c r="C9" s="72" t="s">
        <v>22</v>
      </c>
      <c r="D9" s="22">
        <v>1</v>
      </c>
      <c r="E9" s="85">
        <f>Project_Start</f>
        <v>44467</v>
      </c>
      <c r="F9" s="88">
        <f>E9+7</f>
        <v>44474</v>
      </c>
      <c r="G9" s="17"/>
      <c r="H9" s="17">
        <f t="shared" ca="1" si="6"/>
        <v>8</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row>
    <row r="10" spans="1:64" s="3" customFormat="1" ht="30" customHeight="1" thickBot="1">
      <c r="A10" s="59" t="s">
        <v>23</v>
      </c>
      <c r="B10" s="86" t="s">
        <v>24</v>
      </c>
      <c r="C10" s="72" t="s">
        <v>22</v>
      </c>
      <c r="D10" s="22">
        <v>1</v>
      </c>
      <c r="E10" s="66">
        <v>44467</v>
      </c>
      <c r="F10" s="87">
        <f>E10+7</f>
        <v>44474</v>
      </c>
      <c r="G10" s="17"/>
      <c r="H10" s="17">
        <f t="shared" ca="1" si="6"/>
        <v>8</v>
      </c>
      <c r="I10" s="44"/>
      <c r="J10" s="44"/>
      <c r="K10" s="44"/>
      <c r="L10" s="44"/>
      <c r="M10" s="44"/>
      <c r="N10" s="44"/>
      <c r="O10" s="44"/>
      <c r="P10" s="44"/>
      <c r="Q10" s="44"/>
      <c r="R10" s="44"/>
      <c r="S10" s="44"/>
      <c r="T10" s="44"/>
      <c r="U10" s="45"/>
      <c r="V10" s="45"/>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row>
    <row r="11" spans="1:64" s="3" customFormat="1" ht="30" customHeight="1" thickBot="1">
      <c r="A11" s="58"/>
      <c r="B11" s="86" t="s">
        <v>25</v>
      </c>
      <c r="C11" s="72" t="s">
        <v>22</v>
      </c>
      <c r="D11" s="22">
        <v>1</v>
      </c>
      <c r="E11" s="66">
        <v>44467</v>
      </c>
      <c r="F11" s="87">
        <f>E11+7</f>
        <v>44474</v>
      </c>
      <c r="G11" s="17"/>
      <c r="H11" s="17">
        <f t="shared" ca="1" si="6"/>
        <v>8</v>
      </c>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row>
    <row r="12" spans="1:64" s="3" customFormat="1" ht="30" customHeight="1" thickBot="1">
      <c r="A12" s="58"/>
      <c r="B12" s="86" t="s">
        <v>26</v>
      </c>
      <c r="C12" s="72" t="s">
        <v>22</v>
      </c>
      <c r="D12" s="22">
        <v>1</v>
      </c>
      <c r="E12" s="66">
        <f>F11</f>
        <v>44474</v>
      </c>
      <c r="F12" s="87">
        <f>E12+7</f>
        <v>44481</v>
      </c>
      <c r="G12" s="17"/>
      <c r="H12" s="17">
        <f t="shared" ca="1" si="6"/>
        <v>8</v>
      </c>
      <c r="I12" s="44"/>
      <c r="J12" s="44"/>
      <c r="K12" s="44"/>
      <c r="L12" s="44"/>
      <c r="M12" s="44"/>
      <c r="N12" s="44"/>
      <c r="O12" s="44"/>
      <c r="P12" s="44"/>
      <c r="Q12" s="44"/>
      <c r="R12" s="44"/>
      <c r="S12" s="44"/>
      <c r="T12" s="44"/>
      <c r="U12" s="44"/>
      <c r="V12" s="44"/>
      <c r="W12" s="44"/>
      <c r="X12" s="44"/>
      <c r="Y12" s="45"/>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row>
    <row r="13" spans="1:64" s="3" customFormat="1" ht="30" customHeight="1" thickBot="1">
      <c r="A13" s="58"/>
      <c r="B13" s="80" t="s">
        <v>27</v>
      </c>
      <c r="C13" s="72" t="s">
        <v>28</v>
      </c>
      <c r="D13" s="22">
        <v>1</v>
      </c>
      <c r="E13" s="66">
        <v>44466</v>
      </c>
      <c r="F13" s="66">
        <v>44467</v>
      </c>
      <c r="G13" s="17"/>
      <c r="H13" s="17"/>
      <c r="I13" s="44"/>
      <c r="J13" s="44"/>
      <c r="K13" s="44"/>
      <c r="L13" s="44"/>
      <c r="M13" s="44"/>
      <c r="N13" s="44"/>
      <c r="O13" s="44"/>
      <c r="P13" s="44"/>
      <c r="Q13" s="44"/>
      <c r="R13" s="44"/>
      <c r="S13" s="44"/>
      <c r="T13" s="44"/>
      <c r="U13" s="44"/>
      <c r="V13" s="44"/>
      <c r="W13" s="44"/>
      <c r="X13" s="44"/>
      <c r="Y13" s="45"/>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row>
    <row r="14" spans="1:64" s="3" customFormat="1" ht="30" customHeight="1" thickBot="1">
      <c r="A14" s="58"/>
      <c r="B14" s="80" t="s">
        <v>29</v>
      </c>
      <c r="C14" s="72" t="s">
        <v>22</v>
      </c>
      <c r="D14" s="22">
        <v>0.33329999999999999</v>
      </c>
      <c r="E14" s="66">
        <v>44472</v>
      </c>
      <c r="F14" s="66">
        <v>44489</v>
      </c>
      <c r="G14" s="17"/>
      <c r="H14" s="17">
        <f t="shared" ca="1" si="6"/>
        <v>18</v>
      </c>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row>
    <row r="15" spans="1:64" s="3" customFormat="1" ht="30" customHeight="1" thickBot="1">
      <c r="A15" s="58"/>
      <c r="B15" s="80" t="s">
        <v>30</v>
      </c>
      <c r="C15" s="72" t="s">
        <v>22</v>
      </c>
      <c r="D15" s="22">
        <v>5.0000000000000001E-3</v>
      </c>
      <c r="E15" s="66">
        <f>E3</f>
        <v>44467</v>
      </c>
      <c r="F15" s="66">
        <v>44687</v>
      </c>
      <c r="G15" s="17"/>
      <c r="H15" s="17"/>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row>
    <row r="16" spans="1:64" s="3" customFormat="1" ht="30" customHeight="1" thickBot="1">
      <c r="A16" s="58"/>
      <c r="B16" s="86" t="s">
        <v>31</v>
      </c>
      <c r="C16" s="72" t="s">
        <v>22</v>
      </c>
      <c r="D16" s="22">
        <v>1</v>
      </c>
      <c r="E16" s="66">
        <v>44480</v>
      </c>
      <c r="F16" s="87">
        <v>44483</v>
      </c>
      <c r="G16" s="17"/>
      <c r="H16" s="17"/>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row>
    <row r="17" spans="1:64" s="3" customFormat="1" ht="30" customHeight="1" thickBot="1">
      <c r="A17" s="58"/>
      <c r="B17" s="80" t="s">
        <v>32</v>
      </c>
      <c r="C17" s="72" t="s">
        <v>22</v>
      </c>
      <c r="D17" s="22">
        <v>0</v>
      </c>
      <c r="E17" s="66">
        <v>44472</v>
      </c>
      <c r="F17" s="66">
        <v>44501</v>
      </c>
      <c r="G17" s="17"/>
      <c r="H17" s="17"/>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row>
    <row r="18" spans="1:64" s="3" customFormat="1" ht="30" customHeight="1" thickBot="1">
      <c r="A18" s="58"/>
      <c r="B18" s="80" t="s">
        <v>33</v>
      </c>
      <c r="C18" s="72" t="s">
        <v>22</v>
      </c>
      <c r="D18" s="22">
        <v>0</v>
      </c>
      <c r="E18" s="66">
        <v>44472</v>
      </c>
      <c r="F18" s="66">
        <v>44501</v>
      </c>
      <c r="G18" s="17"/>
      <c r="H18" s="17"/>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row>
    <row r="19" spans="1:64" s="3" customFormat="1" ht="30" customHeight="1" thickBot="1">
      <c r="A19" s="58"/>
      <c r="B19" s="80" t="s">
        <v>34</v>
      </c>
      <c r="C19" s="72" t="s">
        <v>22</v>
      </c>
      <c r="D19" s="22">
        <v>0</v>
      </c>
      <c r="E19" s="66">
        <v>44470</v>
      </c>
      <c r="F19" s="66">
        <v>44490</v>
      </c>
      <c r="G19" s="17"/>
      <c r="H19" s="17"/>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row>
    <row r="20" spans="1:64" s="3" customFormat="1" ht="30" customHeight="1" thickBot="1">
      <c r="A20" s="58"/>
      <c r="B20" s="86" t="s">
        <v>35</v>
      </c>
      <c r="C20" s="72" t="s">
        <v>22</v>
      </c>
      <c r="D20" s="22">
        <v>0</v>
      </c>
      <c r="E20" s="66">
        <v>44508</v>
      </c>
      <c r="F20" s="87">
        <v>44511</v>
      </c>
      <c r="G20" s="17"/>
      <c r="H20" s="17"/>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row>
    <row r="21" spans="1:64" s="3" customFormat="1" ht="30" customHeight="1" thickBot="1">
      <c r="A21" s="58"/>
      <c r="B21" s="80" t="s">
        <v>36</v>
      </c>
      <c r="C21" s="72" t="s">
        <v>37</v>
      </c>
      <c r="D21" s="22">
        <v>0</v>
      </c>
      <c r="E21" s="66">
        <v>44493</v>
      </c>
      <c r="F21" s="85">
        <v>44521</v>
      </c>
      <c r="G21" s="17"/>
      <c r="H21" s="17"/>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row>
    <row r="22" spans="1:64" s="3" customFormat="1" ht="30" customHeight="1" thickBot="1">
      <c r="A22" s="58"/>
      <c r="B22" s="86" t="s">
        <v>31</v>
      </c>
      <c r="C22" s="72" t="s">
        <v>22</v>
      </c>
      <c r="D22" s="22">
        <v>0.5</v>
      </c>
      <c r="E22" s="66">
        <v>44515</v>
      </c>
      <c r="F22" s="88">
        <v>44518</v>
      </c>
      <c r="G22" s="17"/>
      <c r="H22" s="17"/>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row>
    <row r="23" spans="1:64" s="3" customFormat="1" ht="30" customHeight="1" thickBot="1">
      <c r="A23" s="58"/>
      <c r="B23" s="86" t="s">
        <v>38</v>
      </c>
      <c r="C23" s="72" t="s">
        <v>22</v>
      </c>
      <c r="D23" s="22">
        <v>0</v>
      </c>
      <c r="E23" s="66">
        <v>44515</v>
      </c>
      <c r="F23" s="88">
        <v>44519</v>
      </c>
      <c r="G23" s="17"/>
      <c r="H23" s="17"/>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row>
    <row r="24" spans="1:64" s="3" customFormat="1" ht="30" customHeight="1" thickBot="1">
      <c r="A24" s="58"/>
      <c r="B24" s="89" t="s">
        <v>39</v>
      </c>
      <c r="C24" s="72" t="s">
        <v>22</v>
      </c>
      <c r="D24" s="22">
        <v>0</v>
      </c>
      <c r="E24" s="90">
        <v>44522</v>
      </c>
      <c r="F24" s="91">
        <v>44526</v>
      </c>
      <c r="G24" s="17"/>
      <c r="H24" s="17"/>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row>
    <row r="25" spans="1:64" s="3" customFormat="1" ht="30" customHeight="1" thickBot="1">
      <c r="A25" s="58"/>
      <c r="B25" s="80" t="s">
        <v>40</v>
      </c>
      <c r="C25" s="72" t="s">
        <v>22</v>
      </c>
      <c r="D25" s="22">
        <v>0</v>
      </c>
      <c r="E25" s="66">
        <f>F17</f>
        <v>44501</v>
      </c>
      <c r="F25" s="66">
        <f>E25+28</f>
        <v>44529</v>
      </c>
      <c r="G25" s="17"/>
      <c r="H25" s="17"/>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row>
    <row r="26" spans="1:64" s="3" customFormat="1" ht="30" customHeight="1" thickBot="1">
      <c r="A26" s="58"/>
      <c r="B26" s="86" t="s">
        <v>41</v>
      </c>
      <c r="C26" s="72" t="s">
        <v>22</v>
      </c>
      <c r="D26" s="22">
        <v>0</v>
      </c>
      <c r="E26" s="66">
        <v>44522</v>
      </c>
      <c r="F26" s="66">
        <v>44530</v>
      </c>
      <c r="G26" s="17"/>
      <c r="H26" s="17"/>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row>
    <row r="27" spans="1:64" s="3" customFormat="1" ht="30" customHeight="1" thickBot="1">
      <c r="A27" s="58"/>
      <c r="B27" s="86" t="s">
        <v>42</v>
      </c>
      <c r="C27" s="72" t="s">
        <v>22</v>
      </c>
      <c r="D27" s="22">
        <v>0</v>
      </c>
      <c r="E27" s="66">
        <v>44531</v>
      </c>
      <c r="F27" s="87">
        <v>44533</v>
      </c>
      <c r="G27" s="17"/>
      <c r="H27" s="17"/>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row>
    <row r="28" spans="1:64" s="3" customFormat="1" ht="30" customHeight="1" thickBot="1">
      <c r="A28" s="58"/>
      <c r="B28" s="80" t="s">
        <v>43</v>
      </c>
      <c r="C28" s="72" t="s">
        <v>22</v>
      </c>
      <c r="D28" s="22">
        <v>0</v>
      </c>
      <c r="E28" s="66">
        <f>F21</f>
        <v>44521</v>
      </c>
      <c r="F28" s="66">
        <f>E28+14</f>
        <v>44535</v>
      </c>
      <c r="G28" s="17"/>
      <c r="H28" s="17"/>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row>
    <row r="29" spans="1:64" s="3" customFormat="1" ht="30" customHeight="1" thickBot="1">
      <c r="A29" s="58"/>
      <c r="B29" s="80" t="s">
        <v>44</v>
      </c>
      <c r="C29" s="72" t="s">
        <v>22</v>
      </c>
      <c r="D29" s="22">
        <v>0</v>
      </c>
      <c r="E29" s="66">
        <v>44487</v>
      </c>
      <c r="F29" s="66">
        <f>E29+7</f>
        <v>44494</v>
      </c>
      <c r="G29" s="17"/>
      <c r="H29" s="17"/>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row>
    <row r="30" spans="1:64" s="3" customFormat="1" ht="30" customHeight="1" thickBot="1">
      <c r="A30" s="58"/>
      <c r="B30" s="92" t="s">
        <v>45</v>
      </c>
      <c r="C30" s="72" t="s">
        <v>22</v>
      </c>
      <c r="D30" s="22">
        <v>0</v>
      </c>
      <c r="E30" s="66">
        <v>44467</v>
      </c>
      <c r="F30" s="93">
        <v>44540</v>
      </c>
      <c r="G30" s="17"/>
      <c r="H30" s="17"/>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row>
    <row r="31" spans="1:64" s="3" customFormat="1" ht="30" customHeight="1" thickBot="1">
      <c r="A31" s="58"/>
      <c r="B31" s="86" t="s">
        <v>46</v>
      </c>
      <c r="C31" s="72" t="s">
        <v>22</v>
      </c>
      <c r="D31" s="22">
        <v>0</v>
      </c>
      <c r="E31" s="66">
        <v>44220</v>
      </c>
      <c r="F31" s="87">
        <v>44221</v>
      </c>
      <c r="G31" s="17"/>
      <c r="H31" s="17"/>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row>
    <row r="32" spans="1:64" s="3" customFormat="1" ht="30" customHeight="1" thickBot="1">
      <c r="A32" s="58"/>
      <c r="B32" s="80" t="s">
        <v>47</v>
      </c>
      <c r="C32" s="72" t="s">
        <v>48</v>
      </c>
      <c r="D32" s="22">
        <v>0</v>
      </c>
      <c r="E32" s="66">
        <f>F28</f>
        <v>44535</v>
      </c>
      <c r="F32" s="66">
        <v>44593</v>
      </c>
      <c r="G32" s="17"/>
      <c r="H32" s="17"/>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3" customFormat="1" ht="30" customHeight="1" thickBot="1">
      <c r="A33" s="58"/>
      <c r="B33" s="86" t="s">
        <v>49</v>
      </c>
      <c r="C33" s="72" t="s">
        <v>22</v>
      </c>
      <c r="D33" s="22">
        <v>0</v>
      </c>
      <c r="E33" s="66">
        <v>44606</v>
      </c>
      <c r="F33" s="87">
        <v>44610</v>
      </c>
      <c r="G33" s="17"/>
      <c r="H33" s="17"/>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row>
    <row r="34" spans="1:64" s="3" customFormat="1" ht="30" customHeight="1" thickBot="1">
      <c r="A34" s="58"/>
      <c r="B34" s="86" t="s">
        <v>50</v>
      </c>
      <c r="C34" s="72" t="s">
        <v>22</v>
      </c>
      <c r="D34" s="22">
        <v>0</v>
      </c>
      <c r="E34" s="66">
        <v>44467</v>
      </c>
      <c r="F34" s="87">
        <v>44628</v>
      </c>
      <c r="G34" s="17"/>
      <c r="H34" s="17"/>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row>
    <row r="35" spans="1:64" s="3" customFormat="1" ht="30" customHeight="1" thickBot="1">
      <c r="A35" s="58"/>
      <c r="B35" s="86" t="s">
        <v>51</v>
      </c>
      <c r="C35" s="72" t="s">
        <v>22</v>
      </c>
      <c r="D35" s="22">
        <v>0</v>
      </c>
      <c r="E35" s="66">
        <v>44467</v>
      </c>
      <c r="F35" s="87">
        <v>44630</v>
      </c>
      <c r="G35" s="17"/>
      <c r="H35" s="17"/>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row>
    <row r="36" spans="1:64" s="3" customFormat="1" ht="30" customHeight="1" thickBot="1">
      <c r="A36" s="58"/>
      <c r="B36" s="86" t="s">
        <v>38</v>
      </c>
      <c r="C36" s="72" t="s">
        <v>22</v>
      </c>
      <c r="D36" s="22">
        <v>0</v>
      </c>
      <c r="E36" s="66">
        <v>44627</v>
      </c>
      <c r="F36" s="87">
        <v>44631</v>
      </c>
      <c r="G36" s="17"/>
      <c r="H36" s="17"/>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row>
    <row r="37" spans="1:64" s="3" customFormat="1" ht="30" customHeight="1" thickBot="1">
      <c r="A37" s="58"/>
      <c r="B37" s="89" t="s">
        <v>52</v>
      </c>
      <c r="C37" s="72" t="s">
        <v>22</v>
      </c>
      <c r="D37" s="22">
        <v>0</v>
      </c>
      <c r="E37" s="90">
        <v>44634</v>
      </c>
      <c r="F37" s="90">
        <v>44638</v>
      </c>
      <c r="G37" s="17"/>
      <c r="H37" s="17"/>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row>
    <row r="38" spans="1:64" s="3" customFormat="1" ht="30" customHeight="1" thickBot="1">
      <c r="A38" s="58"/>
      <c r="B38" s="86" t="s">
        <v>53</v>
      </c>
      <c r="C38" s="72" t="s">
        <v>22</v>
      </c>
      <c r="D38" s="22">
        <v>0</v>
      </c>
      <c r="E38" s="66">
        <v>44648</v>
      </c>
      <c r="F38" s="87">
        <v>44649</v>
      </c>
      <c r="G38" s="17"/>
      <c r="H38" s="17"/>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row>
    <row r="39" spans="1:64" s="3" customFormat="1" ht="30" customHeight="1" thickBot="1">
      <c r="A39" s="58"/>
      <c r="B39" s="80" t="s">
        <v>54</v>
      </c>
      <c r="C39" s="72" t="s">
        <v>22</v>
      </c>
      <c r="D39" s="22">
        <v>0</v>
      </c>
      <c r="E39" s="66">
        <f>F28</f>
        <v>44535</v>
      </c>
      <c r="F39" s="66">
        <f>E39+120</f>
        <v>44655</v>
      </c>
      <c r="G39" s="17"/>
      <c r="H39" s="17"/>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row>
    <row r="40" spans="1:64" s="3" customFormat="1" ht="30" customHeight="1" thickBot="1">
      <c r="A40" s="58"/>
      <c r="B40" s="80" t="s">
        <v>55</v>
      </c>
      <c r="C40" s="72" t="s">
        <v>28</v>
      </c>
      <c r="D40" s="22">
        <v>0</v>
      </c>
      <c r="E40" s="66">
        <v>44578</v>
      </c>
      <c r="F40" s="66">
        <v>44652</v>
      </c>
      <c r="G40" s="17"/>
      <c r="H40" s="17"/>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row>
    <row r="41" spans="1:64" s="3" customFormat="1" ht="30" customHeight="1" thickBot="1">
      <c r="A41" s="58"/>
      <c r="B41" s="86" t="s">
        <v>56</v>
      </c>
      <c r="C41" s="72" t="s">
        <v>22</v>
      </c>
      <c r="D41" s="22">
        <v>0</v>
      </c>
      <c r="E41" s="66">
        <v>44669</v>
      </c>
      <c r="F41" s="87">
        <v>44675</v>
      </c>
      <c r="G41" s="17"/>
      <c r="H41" s="17"/>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row>
    <row r="42" spans="1:64" s="3" customFormat="1" ht="30" customHeight="1" thickBot="1">
      <c r="A42" s="58"/>
      <c r="B42" s="80" t="s">
        <v>57</v>
      </c>
      <c r="C42" s="72" t="s">
        <v>22</v>
      </c>
      <c r="D42" s="22">
        <v>0</v>
      </c>
      <c r="E42" s="66">
        <f>F28</f>
        <v>44535</v>
      </c>
      <c r="F42" s="66">
        <f>E42+60</f>
        <v>44595</v>
      </c>
      <c r="G42" s="17"/>
      <c r="H42" s="17"/>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row>
    <row r="43" spans="1:64" s="3" customFormat="1" ht="30" customHeight="1" thickBot="1">
      <c r="A43" s="58"/>
      <c r="B43" s="80" t="s">
        <v>58</v>
      </c>
      <c r="C43" s="72" t="s">
        <v>22</v>
      </c>
      <c r="D43" s="22">
        <v>0</v>
      </c>
      <c r="E43" s="66">
        <v>44621</v>
      </c>
      <c r="F43" s="66">
        <v>44679</v>
      </c>
      <c r="G43" s="17"/>
      <c r="H43" s="17"/>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row>
    <row r="44" spans="1:64" s="3" customFormat="1" ht="30" customHeight="1" thickBot="1">
      <c r="A44" s="58"/>
      <c r="B44" s="94" t="s">
        <v>59</v>
      </c>
      <c r="C44" s="72" t="s">
        <v>22</v>
      </c>
      <c r="D44" s="22">
        <v>0</v>
      </c>
      <c r="E44" s="95">
        <v>44679</v>
      </c>
      <c r="F44" s="95">
        <v>44680</v>
      </c>
      <c r="G44" s="17"/>
      <c r="H44" s="17"/>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row>
    <row r="45" spans="1:64" s="3" customFormat="1" ht="30" customHeight="1" thickBot="1">
      <c r="A45" s="58"/>
      <c r="B45" s="92" t="s">
        <v>60</v>
      </c>
      <c r="C45" s="72" t="s">
        <v>22</v>
      </c>
      <c r="D45" s="22">
        <v>0</v>
      </c>
      <c r="E45" s="66">
        <v>44683</v>
      </c>
      <c r="F45" s="93">
        <v>44687</v>
      </c>
      <c r="G45" s="17"/>
      <c r="H45" s="17"/>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row>
    <row r="46" spans="1:64" s="3" customFormat="1" ht="30" customHeight="1" thickBot="1">
      <c r="A46" s="59" t="s">
        <v>61</v>
      </c>
      <c r="B46" s="23"/>
      <c r="C46" s="73"/>
      <c r="D46" s="24"/>
      <c r="E46" s="25"/>
      <c r="F46" s="26"/>
      <c r="G46" s="17"/>
      <c r="H46" s="17" t="str">
        <f t="shared" ca="1" si="6"/>
        <v/>
      </c>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row>
    <row r="47" spans="1:64" s="3" customFormat="1" ht="30" customHeight="1" thickBot="1">
      <c r="A47" s="59"/>
      <c r="B47" s="81" t="s">
        <v>62</v>
      </c>
      <c r="C47" s="74"/>
      <c r="D47" s="27">
        <v>0.5</v>
      </c>
      <c r="E47" s="67">
        <f>E14+1</f>
        <v>44473</v>
      </c>
      <c r="F47" s="67">
        <f>E47+4</f>
        <v>44477</v>
      </c>
      <c r="G47" s="17"/>
      <c r="H47" s="17">
        <f t="shared" ca="1" si="6"/>
        <v>5</v>
      </c>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row>
    <row r="48" spans="1:64" s="3" customFormat="1" ht="30" customHeight="1" thickBot="1">
      <c r="A48" s="58"/>
      <c r="B48" s="81" t="s">
        <v>63</v>
      </c>
      <c r="C48" s="74"/>
      <c r="D48" s="27">
        <v>0.5</v>
      </c>
      <c r="E48" s="67">
        <f>E47+2</f>
        <v>44475</v>
      </c>
      <c r="F48" s="67">
        <f>E48+5</f>
        <v>44480</v>
      </c>
      <c r="G48" s="17"/>
      <c r="H48" s="17">
        <f t="shared" ca="1" si="6"/>
        <v>6</v>
      </c>
      <c r="I48" s="44"/>
      <c r="J48" s="44"/>
      <c r="K48" s="44"/>
      <c r="L48" s="44"/>
      <c r="M48" s="44"/>
      <c r="N48" s="44"/>
      <c r="O48" s="44"/>
      <c r="P48" s="44"/>
      <c r="Q48" s="44"/>
      <c r="R48" s="44"/>
      <c r="S48" s="44"/>
      <c r="T48" s="44"/>
      <c r="U48" s="45"/>
      <c r="V48" s="45"/>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row>
    <row r="49" spans="1:64" s="3" customFormat="1" ht="30" customHeight="1" thickBot="1">
      <c r="A49" s="58"/>
      <c r="B49" s="81" t="s">
        <v>64</v>
      </c>
      <c r="C49" s="74"/>
      <c r="D49" s="27"/>
      <c r="E49" s="67">
        <f>F48</f>
        <v>44480</v>
      </c>
      <c r="F49" s="67">
        <f>E49+3</f>
        <v>44483</v>
      </c>
      <c r="G49" s="17"/>
      <c r="H49" s="17">
        <f t="shared" ca="1" si="6"/>
        <v>4</v>
      </c>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row>
    <row r="50" spans="1:64" s="3" customFormat="1" ht="30" customHeight="1" thickBot="1">
      <c r="A50" s="58"/>
      <c r="B50" s="81" t="s">
        <v>65</v>
      </c>
      <c r="C50" s="74"/>
      <c r="D50" s="27"/>
      <c r="E50" s="67">
        <f>E49</f>
        <v>44480</v>
      </c>
      <c r="F50" s="67">
        <f>E50+2</f>
        <v>44482</v>
      </c>
      <c r="G50" s="17"/>
      <c r="H50" s="17">
        <f t="shared" ca="1" si="6"/>
        <v>3</v>
      </c>
      <c r="I50" s="44"/>
      <c r="J50" s="44"/>
      <c r="K50" s="44"/>
      <c r="L50" s="44"/>
      <c r="M50" s="44"/>
      <c r="N50" s="44"/>
      <c r="O50" s="44"/>
      <c r="P50" s="44"/>
      <c r="Q50" s="44"/>
      <c r="R50" s="44"/>
      <c r="S50" s="44"/>
      <c r="T50" s="44"/>
      <c r="U50" s="44"/>
      <c r="V50" s="44"/>
      <c r="W50" s="44"/>
      <c r="X50" s="44"/>
      <c r="Y50" s="45"/>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row>
    <row r="51" spans="1:64" s="3" customFormat="1" ht="30" customHeight="1" thickBot="1">
      <c r="A51" s="58"/>
      <c r="B51" s="81" t="s">
        <v>66</v>
      </c>
      <c r="C51" s="74"/>
      <c r="D51" s="27"/>
      <c r="E51" s="67">
        <f>E50</f>
        <v>44480</v>
      </c>
      <c r="F51" s="67">
        <f>E51+3</f>
        <v>44483</v>
      </c>
      <c r="G51" s="17"/>
      <c r="H51" s="17">
        <f t="shared" ca="1" si="6"/>
        <v>4</v>
      </c>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row>
    <row r="52" spans="1:64" s="3" customFormat="1" ht="30" customHeight="1" thickBot="1">
      <c r="A52" s="58" t="s">
        <v>67</v>
      </c>
      <c r="B52" s="28"/>
      <c r="C52" s="75"/>
      <c r="D52" s="29"/>
      <c r="E52" s="30"/>
      <c r="F52" s="31"/>
      <c r="G52" s="17"/>
      <c r="H52" s="17" t="str">
        <f t="shared" ca="1" si="6"/>
        <v/>
      </c>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row>
    <row r="53" spans="1:64" s="3" customFormat="1" ht="30" customHeight="1" thickBot="1">
      <c r="A53" s="58"/>
      <c r="B53" s="82" t="s">
        <v>62</v>
      </c>
      <c r="C53" s="76"/>
      <c r="D53" s="32"/>
      <c r="E53" s="68">
        <f>E9+15</f>
        <v>44482</v>
      </c>
      <c r="F53" s="68">
        <f>E53+5</f>
        <v>44487</v>
      </c>
      <c r="G53" s="17"/>
      <c r="H53" s="17">
        <f t="shared" ca="1" si="6"/>
        <v>6</v>
      </c>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row>
    <row r="54" spans="1:64" s="3" customFormat="1" ht="30" customHeight="1" thickBot="1">
      <c r="A54" s="58"/>
      <c r="B54" s="82" t="s">
        <v>63</v>
      </c>
      <c r="C54" s="76"/>
      <c r="D54" s="32"/>
      <c r="E54" s="68">
        <f>F53+1</f>
        <v>44488</v>
      </c>
      <c r="F54" s="68">
        <f>E54+4</f>
        <v>44492</v>
      </c>
      <c r="G54" s="17"/>
      <c r="H54" s="17">
        <f t="shared" ca="1" si="6"/>
        <v>5</v>
      </c>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row>
    <row r="55" spans="1:64" s="3" customFormat="1" ht="30" customHeight="1" thickBot="1">
      <c r="A55" s="58"/>
      <c r="B55" s="82" t="s">
        <v>64</v>
      </c>
      <c r="C55" s="76"/>
      <c r="D55" s="32"/>
      <c r="E55" s="68">
        <f>E54+5</f>
        <v>44493</v>
      </c>
      <c r="F55" s="68">
        <f>E55+5</f>
        <v>44498</v>
      </c>
      <c r="G55" s="17"/>
      <c r="H55" s="17">
        <f t="shared" ca="1" si="6"/>
        <v>6</v>
      </c>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row>
    <row r="56" spans="1:64" s="3" customFormat="1" ht="30" customHeight="1" thickBot="1">
      <c r="A56" s="58"/>
      <c r="B56" s="82" t="s">
        <v>65</v>
      </c>
      <c r="C56" s="76"/>
      <c r="D56" s="32"/>
      <c r="E56" s="68">
        <f>F55+1</f>
        <v>44499</v>
      </c>
      <c r="F56" s="68">
        <f>E56+4</f>
        <v>44503</v>
      </c>
      <c r="G56" s="17"/>
      <c r="H56" s="17">
        <f t="shared" ca="1" si="6"/>
        <v>5</v>
      </c>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row>
    <row r="57" spans="1:64" s="3" customFormat="1" ht="30" customHeight="1" thickBot="1">
      <c r="A57" s="58"/>
      <c r="B57" s="82" t="s">
        <v>66</v>
      </c>
      <c r="C57" s="76"/>
      <c r="D57" s="32"/>
      <c r="E57" s="68">
        <f>E55</f>
        <v>44493</v>
      </c>
      <c r="F57" s="68">
        <f>E57+4</f>
        <v>44497</v>
      </c>
      <c r="G57" s="17"/>
      <c r="H57" s="17">
        <f t="shared" ca="1" si="6"/>
        <v>5</v>
      </c>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row>
    <row r="58" spans="1:64" s="3" customFormat="1" ht="30" customHeight="1" thickBot="1">
      <c r="A58" s="58" t="s">
        <v>67</v>
      </c>
      <c r="B58" s="33"/>
      <c r="C58" s="77"/>
      <c r="D58" s="34"/>
      <c r="E58" s="35"/>
      <c r="F58" s="36"/>
      <c r="G58" s="17"/>
      <c r="H58" s="17" t="str">
        <f t="shared" ca="1" si="6"/>
        <v/>
      </c>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row>
    <row r="59" spans="1:64" s="3" customFormat="1" ht="30" customHeight="1" thickBot="1">
      <c r="A59" s="58"/>
      <c r="B59" s="83" t="s">
        <v>62</v>
      </c>
      <c r="C59" s="78"/>
      <c r="D59" s="37"/>
      <c r="E59" s="69">
        <v>44473</v>
      </c>
      <c r="F59" s="69">
        <v>44490</v>
      </c>
      <c r="G59" s="17"/>
      <c r="H59" s="17">
        <f t="shared" ca="1" si="6"/>
        <v>18</v>
      </c>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row>
    <row r="60" spans="1:64" s="3" customFormat="1" ht="30" customHeight="1" thickBot="1">
      <c r="A60" s="58"/>
      <c r="B60" s="83" t="s">
        <v>63</v>
      </c>
      <c r="C60" s="78"/>
      <c r="D60" s="37"/>
      <c r="E60" s="69" t="s">
        <v>68</v>
      </c>
      <c r="F60" s="69" t="s">
        <v>68</v>
      </c>
      <c r="G60" s="17"/>
      <c r="H60" s="17" t="e">
        <f t="shared" ca="1" si="6"/>
        <v>#VALUE!</v>
      </c>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row>
    <row r="61" spans="1:64" s="3" customFormat="1" ht="30" customHeight="1" thickBot="1">
      <c r="A61" s="58"/>
      <c r="B61" s="83" t="s">
        <v>64</v>
      </c>
      <c r="C61" s="78"/>
      <c r="D61" s="37"/>
      <c r="E61" s="69" t="s">
        <v>68</v>
      </c>
      <c r="F61" s="69" t="s">
        <v>68</v>
      </c>
      <c r="G61" s="17"/>
      <c r="H61" s="17" t="e">
        <f t="shared" ca="1" si="6"/>
        <v>#VALUE!</v>
      </c>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row>
    <row r="62" spans="1:64" s="3" customFormat="1" ht="30" customHeight="1" thickBot="1">
      <c r="A62" s="58"/>
      <c r="B62" s="83" t="s">
        <v>65</v>
      </c>
      <c r="C62" s="78"/>
      <c r="D62" s="37"/>
      <c r="E62" s="69" t="s">
        <v>68</v>
      </c>
      <c r="F62" s="69" t="s">
        <v>68</v>
      </c>
      <c r="G62" s="17"/>
      <c r="H62" s="17" t="e">
        <f t="shared" ca="1" si="6"/>
        <v>#VALUE!</v>
      </c>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row>
    <row r="63" spans="1:64" s="3" customFormat="1" ht="30" customHeight="1" thickBot="1">
      <c r="A63" s="58"/>
      <c r="B63" s="83" t="s">
        <v>66</v>
      </c>
      <c r="C63" s="78"/>
      <c r="D63" s="37"/>
      <c r="E63" s="69" t="s">
        <v>68</v>
      </c>
      <c r="F63" s="69" t="s">
        <v>68</v>
      </c>
      <c r="G63" s="17"/>
      <c r="H63" s="17" t="e">
        <f t="shared" ca="1" si="6"/>
        <v>#VALUE!</v>
      </c>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row>
    <row r="64" spans="1:64" s="3" customFormat="1" ht="30" customHeight="1" thickBot="1">
      <c r="A64" s="58" t="s">
        <v>69</v>
      </c>
      <c r="B64" s="84"/>
      <c r="C64" s="79"/>
      <c r="D64" s="16"/>
      <c r="E64" s="70"/>
      <c r="F64" s="70"/>
      <c r="G64" s="17"/>
      <c r="H64" s="17" t="str">
        <f t="shared" ca="1" si="6"/>
        <v/>
      </c>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row>
    <row r="65" spans="1:64" s="3" customFormat="1" ht="30" customHeight="1" thickBot="1">
      <c r="A65" s="59" t="s">
        <v>70</v>
      </c>
      <c r="B65" s="38" t="s">
        <v>71</v>
      </c>
      <c r="C65" s="39"/>
      <c r="D65" s="40"/>
      <c r="E65" s="41"/>
      <c r="F65" s="42"/>
      <c r="G65" s="43"/>
      <c r="H65" s="43" t="str">
        <f t="shared" ca="1" si="6"/>
        <v/>
      </c>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c r="BH65" s="46"/>
      <c r="BI65" s="46"/>
      <c r="BJ65" s="46"/>
      <c r="BK65" s="46"/>
      <c r="BL65" s="46"/>
    </row>
    <row r="66" spans="1:64" ht="30" customHeight="1">
      <c r="G66" s="6"/>
    </row>
    <row r="67" spans="1:64" ht="30" customHeight="1">
      <c r="C67" s="14"/>
      <c r="F67" s="60"/>
    </row>
    <row r="68" spans="1:64" ht="30" customHeight="1">
      <c r="C68" s="15"/>
    </row>
  </sheetData>
  <mergeCells count="12">
    <mergeCell ref="AY4:BE4"/>
    <mergeCell ref="BF4:BL4"/>
    <mergeCell ref="E3:F3"/>
    <mergeCell ref="I4:O4"/>
    <mergeCell ref="P4:V4"/>
    <mergeCell ref="W4:AC4"/>
    <mergeCell ref="AD4:AJ4"/>
    <mergeCell ref="C3:D3"/>
    <mergeCell ref="C4:D4"/>
    <mergeCell ref="B5:G5"/>
    <mergeCell ref="AK4:AQ4"/>
    <mergeCell ref="AR4:AX4"/>
  </mergeCells>
  <conditionalFormatting sqref="D7:D65">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65">
    <cfRule type="expression" dxfId="2" priority="33">
      <formula>AND(TODAY()&gt;=I$5,TODAY()&lt;J$5)</formula>
    </cfRule>
  </conditionalFormatting>
  <conditionalFormatting sqref="I7:BL65">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50 F54:F55 E55"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D7:D65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3.9"/>
  <cols>
    <col min="1" max="1" width="87.140625" style="48" customWidth="1"/>
    <col min="2" max="16384" width="9.140625" style="2"/>
  </cols>
  <sheetData>
    <row r="1" spans="1:2" ht="46.5" customHeight="1"/>
    <row r="2" spans="1:2" s="50" customFormat="1" ht="15.6">
      <c r="A2" s="49" t="s">
        <v>2</v>
      </c>
      <c r="B2" s="49"/>
    </row>
    <row r="3" spans="1:2" s="54" customFormat="1" ht="27" customHeight="1">
      <c r="A3" s="55" t="s">
        <v>5</v>
      </c>
      <c r="B3" s="55"/>
    </row>
    <row r="4" spans="1:2" s="51" customFormat="1" ht="25.9">
      <c r="A4" s="52" t="s">
        <v>72</v>
      </c>
    </row>
    <row r="5" spans="1:2" ht="74.099999999999994" customHeight="1">
      <c r="A5" s="53" t="s">
        <v>73</v>
      </c>
    </row>
    <row r="6" spans="1:2" ht="26.25" customHeight="1">
      <c r="A6" s="52" t="s">
        <v>74</v>
      </c>
    </row>
    <row r="7" spans="1:2" s="48" customFormat="1" ht="204.95" customHeight="1">
      <c r="A7" s="57" t="s">
        <v>75</v>
      </c>
    </row>
    <row r="8" spans="1:2" s="51" customFormat="1" ht="25.9">
      <c r="A8" s="52" t="s">
        <v>76</v>
      </c>
    </row>
    <row r="9" spans="1:2" ht="57.6">
      <c r="A9" s="53" t="s">
        <v>77</v>
      </c>
    </row>
    <row r="10" spans="1:2" s="48" customFormat="1" ht="27.95" customHeight="1">
      <c r="A10" s="56" t="s">
        <v>78</v>
      </c>
    </row>
    <row r="11" spans="1:2" s="51" customFormat="1" ht="25.9">
      <c r="A11" s="52" t="s">
        <v>79</v>
      </c>
    </row>
    <row r="12" spans="1:2" ht="28.9">
      <c r="A12" s="53" t="s">
        <v>80</v>
      </c>
    </row>
    <row r="13" spans="1:2" s="48" customFormat="1" ht="27.95" customHeight="1">
      <c r="A13" s="56" t="s">
        <v>81</v>
      </c>
    </row>
    <row r="14" spans="1:2" s="51" customFormat="1" ht="25.9">
      <c r="A14" s="52" t="s">
        <v>82</v>
      </c>
    </row>
    <row r="15" spans="1:2" ht="75" customHeight="1">
      <c r="A15" s="53" t="s">
        <v>83</v>
      </c>
    </row>
    <row r="16" spans="1:2" ht="72">
      <c r="A16" s="53" t="s">
        <v>84</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43254B27533444690A8B3E3B23DF47F" ma:contentTypeVersion="7" ma:contentTypeDescription="Create a new document." ma:contentTypeScope="" ma:versionID="735be9182a5b77e0cf05cc8151452ae6">
  <xsd:schema xmlns:xsd="http://www.w3.org/2001/XMLSchema" xmlns:xs="http://www.w3.org/2001/XMLSchema" xmlns:p="http://schemas.microsoft.com/office/2006/metadata/properties" xmlns:ns3="78b64eb5-a17b-402c-ba9b-af600099f941" xmlns:ns4="148c8e6a-85d8-4417-a01f-7c06ebc3074d" targetNamespace="http://schemas.microsoft.com/office/2006/metadata/properties" ma:root="true" ma:fieldsID="ba91dadf1ad1d4f6bc347d337b182bf5" ns3:_="" ns4:_="">
    <xsd:import namespace="78b64eb5-a17b-402c-ba9b-af600099f941"/>
    <xsd:import namespace="148c8e6a-85d8-4417-a01f-7c06ebc3074d"/>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b64eb5-a17b-402c-ba9b-af600099f9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48c8e6a-85d8-4417-a01f-7c06ebc3074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B2DF7F-3373-4A51-8991-C6D84CADA49E}"/>
</file>

<file path=customXml/itemProps2.xml><?xml version="1.0" encoding="utf-8"?>
<ds:datastoreItem xmlns:ds="http://schemas.openxmlformats.org/officeDocument/2006/customXml" ds:itemID="{E0123077-95DD-4948-868D-068F44AB56FB}"/>
</file>

<file path=customXml/itemProps3.xml><?xml version="1.0" encoding="utf-8"?>
<ds:datastoreItem xmlns:ds="http://schemas.openxmlformats.org/officeDocument/2006/customXml" ds:itemID="{08AFDFA0-E424-4B90-85B7-9415B6FBC130}"/>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Hill, Dawson (hill7976@vandals.uidaho.edu)</cp:lastModifiedBy>
  <cp:revision/>
  <dcterms:created xsi:type="dcterms:W3CDTF">2019-03-19T17:17:03Z</dcterms:created>
  <dcterms:modified xsi:type="dcterms:W3CDTF">2022-05-07T00:39:47Z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0x010100443254B27533444690A8B3E3B23DF47F</vt:lpwstr>
  </property>
</Properties>
</file>